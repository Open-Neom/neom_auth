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neom_auth — Regression Testing Checklist</t>
        </is>
      </c>
    </row>
    <row r="2">
      <c r="A2" s="2" t="inlineStr">
        <is>
          <t>Módulo:</t>
        </is>
      </c>
      <c r="B2" s="3" t="inlineStr">
        <is>
          <t>neom_auth</t>
        </is>
      </c>
    </row>
    <row r="3">
      <c r="A3" s="2" t="inlineStr">
        <is>
          <t>Categoría:</t>
        </is>
      </c>
      <c r="B3" s="3" t="inlineStr">
        <is>
          <t>main</t>
        </is>
      </c>
    </row>
    <row r="4">
      <c r="A4" s="2" t="inlineStr">
        <is>
          <t>Descripción:</t>
        </is>
      </c>
      <c r="B4" s="3" t="inlineStr">
        <is>
          <t>Autenticación, registro, recuperación de contraseña, onboarding y persistencia de sesión. Incluye providers de email/Google/Apple, parity de traducciones y feature gates por SubscriptionLevel.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Cases'!A2:A19)</f>
        <v/>
      </c>
    </row>
    <row r="12">
      <c r="A12" s="5" t="inlineStr">
        <is>
          <t>Passed</t>
        </is>
      </c>
      <c r="B12" s="6">
        <f>COUNTIF('Test Cases'!F2:F19,"Passed")</f>
        <v/>
      </c>
    </row>
    <row r="13">
      <c r="A13" s="5" t="inlineStr">
        <is>
          <t>Failed</t>
        </is>
      </c>
      <c r="B13" s="6">
        <f>COUNTIF('Test Cases'!F2:F19,"Failed")</f>
        <v/>
      </c>
    </row>
    <row r="14">
      <c r="A14" s="5" t="inlineStr">
        <is>
          <t>Blocked</t>
        </is>
      </c>
      <c r="B14" s="6">
        <f>COUNTIF('Test Cases'!F2:F19,"Blocked")</f>
        <v/>
      </c>
    </row>
    <row r="15">
      <c r="A15" s="5" t="inlineStr">
        <is>
          <t>Skipped</t>
        </is>
      </c>
      <c r="B15" s="6">
        <f>COUNTIF('Test Cases'!F2:F19,"Skipped")</f>
        <v/>
      </c>
    </row>
    <row r="16">
      <c r="A16" s="5" t="inlineStr">
        <is>
          <t>Not Run</t>
        </is>
      </c>
      <c r="B16" s="6">
        <f>COUNTIF('Test Cases'!F2:F19,"Not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Cases'!D2:D19,"P0")</f>
        <v/>
      </c>
      <c r="C21" s="8">
        <f>COUNTIFS('Test Cases'!D2:D19,"P0",'Test Cases'!F2:F19,"Passed")</f>
        <v/>
      </c>
      <c r="D21" s="8">
        <f>COUNTIFS('Test Cases'!D2:D19,"P0",'Test Cases'!F2:F19,"Failed")</f>
        <v/>
      </c>
      <c r="E21" s="8">
        <f>COUNTIFS('Test Cases'!D2:D19,"P0",'Test Cases'!F2:F19,"Not Run")</f>
        <v/>
      </c>
    </row>
    <row r="22">
      <c r="A22" s="5" t="inlineStr">
        <is>
          <t>P1</t>
        </is>
      </c>
      <c r="B22" s="8">
        <f>COUNTIF('Test Cases'!D2:D19,"P1")</f>
        <v/>
      </c>
      <c r="C22" s="8">
        <f>COUNTIFS('Test Cases'!D2:D19,"P1",'Test Cases'!F2:F19,"Passed")</f>
        <v/>
      </c>
      <c r="D22" s="8">
        <f>COUNTIFS('Test Cases'!D2:D19,"P1",'Test Cases'!F2:F19,"Failed")</f>
        <v/>
      </c>
      <c r="E22" s="8">
        <f>COUNTIFS('Test Cases'!D2:D19,"P1",'Test Cases'!F2:F19,"Not Run")</f>
        <v/>
      </c>
    </row>
    <row r="23">
      <c r="A23" s="5" t="inlineStr">
        <is>
          <t>P2</t>
        </is>
      </c>
      <c r="B23" s="8">
        <f>COUNTIF('Test Cases'!D2:D19,"P2")</f>
        <v/>
      </c>
      <c r="C23" s="8">
        <f>COUNTIFS('Test Cases'!D2:D19,"P2",'Test Cases'!F2:F19,"Passed")</f>
        <v/>
      </c>
      <c r="D23" s="8">
        <f>COUNTIFS('Test Cases'!D2:D19,"P2",'Test Cases'!F2:F19,"Failed")</f>
        <v/>
      </c>
      <c r="E23" s="8">
        <f>COUNTIFS('Test Cases'!D2:D19,"P2",'Test Cases'!F2:F19,"Not Run")</f>
        <v/>
      </c>
    </row>
    <row r="24">
      <c r="A24" s="5" t="inlineStr">
        <is>
          <t>P3</t>
        </is>
      </c>
      <c r="B24" s="8">
        <f>COUNTIF('Test Cases'!D2:D19,"P3")</f>
        <v/>
      </c>
      <c r="C24" s="8">
        <f>COUNTIFS('Test Cases'!D2:D19,"P3",'Test Cases'!F2:F19,"Passed")</f>
        <v/>
      </c>
      <c r="D24" s="8">
        <f>COUNTIFS('Test Cases'!D2:D19,"P3",'Test Cases'!F2:F19,"Failed")</f>
        <v/>
      </c>
      <c r="E24" s="8">
        <f>COUNTIFS('Test Cases'!D2:D19,"P3",'Test Cases'!F2:F19,"Not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AUTH-01</t>
        </is>
      </c>
      <c r="B2" s="9" t="inlineStr">
        <is>
          <t>neom_auth</t>
        </is>
      </c>
      <c r="C2" s="9" t="inlineStr">
        <is>
          <t>Authentication</t>
        </is>
      </c>
      <c r="D2" s="9" t="inlineStr">
        <is>
          <t>P0</t>
        </is>
      </c>
      <c r="E2" s="9" t="inlineStr">
        <is>
          <t>Login email/password válido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Cuenta QA existente</t>
        </is>
      </c>
      <c r="M2" s="9" t="inlineStr">
        <is>
          <t>1. Abrir app 2. Ingresar email+pwd 3. Tap Login</t>
        </is>
      </c>
      <c r="N2" s="9" t="inlineStr">
        <is>
          <t>Redirige a Home en &lt;3s</t>
        </is>
      </c>
      <c r="O2" s="9" t="inlineStr"/>
    </row>
    <row r="3">
      <c r="A3" s="10" t="inlineStr">
        <is>
          <t>AUTH-02</t>
        </is>
      </c>
      <c r="B3" s="10" t="inlineStr">
        <is>
          <t>neom_auth</t>
        </is>
      </c>
      <c r="C3" s="10" t="inlineStr">
        <is>
          <t>Authentication</t>
        </is>
      </c>
      <c r="D3" s="10" t="inlineStr">
        <is>
          <t>P0</t>
        </is>
      </c>
      <c r="E3" s="10" t="inlineStr">
        <is>
          <t>Login Google OAuth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Cuenta Google</t>
        </is>
      </c>
      <c r="M3" s="10" t="inlineStr">
        <is>
          <t>Tap 'Continuar con Google' y seleccionar cuenta</t>
        </is>
      </c>
      <c r="N3" s="10" t="inlineStr">
        <is>
          <t>Sesión iniciada</t>
        </is>
      </c>
      <c r="O3" s="10" t="inlineStr"/>
    </row>
    <row r="4">
      <c r="A4" s="9" t="inlineStr">
        <is>
          <t>AUTH-03</t>
        </is>
      </c>
      <c r="B4" s="9" t="inlineStr">
        <is>
          <t>neom_auth</t>
        </is>
      </c>
      <c r="C4" s="9" t="inlineStr">
        <is>
          <t>Authentication</t>
        </is>
      </c>
      <c r="D4" s="9" t="inlineStr">
        <is>
          <t>P0</t>
        </is>
      </c>
      <c r="E4" s="9" t="inlineStr">
        <is>
          <t>Login Apple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Cuenta Apple</t>
        </is>
      </c>
      <c r="M4" s="9" t="inlineStr">
        <is>
          <t>Tap 'Continuar con Apple'</t>
        </is>
      </c>
      <c r="N4" s="9" t="inlineStr">
        <is>
          <t>Sesión iniciada</t>
        </is>
      </c>
      <c r="O4" s="9" t="inlineStr">
        <is>
          <t>Solo iOS/macOS/Web</t>
        </is>
      </c>
    </row>
    <row r="5">
      <c r="A5" s="10" t="inlineStr">
        <is>
          <t>AUTH-04</t>
        </is>
      </c>
      <c r="B5" s="10" t="inlineStr">
        <is>
          <t>neom_auth</t>
        </is>
      </c>
      <c r="C5" s="10" t="inlineStr">
        <is>
          <t>Authentication</t>
        </is>
      </c>
      <c r="D5" s="10" t="inlineStr">
        <is>
          <t>P0</t>
        </is>
      </c>
      <c r="E5" s="10" t="inlineStr">
        <is>
          <t>Recuperar contraseña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Email válido registrado</t>
        </is>
      </c>
      <c r="M5" s="10" t="inlineStr">
        <is>
          <t>Forgot password &gt; ingresar email</t>
        </is>
      </c>
      <c r="N5" s="10" t="inlineStr">
        <is>
          <t>Email de reset entregado</t>
        </is>
      </c>
      <c r="O5" s="10" t="inlineStr"/>
    </row>
    <row r="6">
      <c r="A6" s="9" t="inlineStr">
        <is>
          <t>AUTH-05</t>
        </is>
      </c>
      <c r="B6" s="9" t="inlineStr">
        <is>
          <t>neom_auth</t>
        </is>
      </c>
      <c r="C6" s="9" t="inlineStr">
        <is>
          <t>Authentication</t>
        </is>
      </c>
      <c r="D6" s="9" t="inlineStr">
        <is>
          <t>P1</t>
        </is>
      </c>
      <c r="E6" s="9" t="inlineStr">
        <is>
          <t>Password incorrecta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Email registrado</t>
        </is>
      </c>
      <c r="M6" s="9" t="inlineStr">
        <is>
          <t>Login con password errónea</t>
        </is>
      </c>
      <c r="N6" s="9" t="inlineStr">
        <is>
          <t>Mensaje de error claro, sin crash</t>
        </is>
      </c>
      <c r="O6" s="9" t="inlineStr"/>
    </row>
    <row r="7">
      <c r="A7" s="10" t="inlineStr">
        <is>
          <t>AUTH-06</t>
        </is>
      </c>
      <c r="B7" s="10" t="inlineStr">
        <is>
          <t>neom_auth</t>
        </is>
      </c>
      <c r="C7" s="10" t="inlineStr">
        <is>
          <t>Authentication</t>
        </is>
      </c>
      <c r="D7" s="10" t="inlineStr">
        <is>
          <t>P1</t>
        </is>
      </c>
      <c r="E7" s="10" t="inlineStr">
        <is>
          <t>Email no registrado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-</t>
        </is>
      </c>
      <c r="M7" s="10" t="inlineStr">
        <is>
          <t>Login con email inexistente</t>
        </is>
      </c>
      <c r="N7" s="10" t="inlineStr">
        <is>
          <t>Error 'usuario no encontrado'</t>
        </is>
      </c>
      <c r="O7" s="10" t="inlineStr"/>
    </row>
    <row r="8">
      <c r="A8" s="9" t="inlineStr">
        <is>
          <t>AUTH-07</t>
        </is>
      </c>
      <c r="B8" s="9" t="inlineStr">
        <is>
          <t>neom_auth</t>
        </is>
      </c>
      <c r="C8" s="9" t="inlineStr">
        <is>
          <t>Authentication</t>
        </is>
      </c>
      <c r="D8" s="9" t="inlineStr">
        <is>
          <t>P1</t>
        </is>
      </c>
      <c r="E8" s="9" t="inlineStr">
        <is>
          <t>Persistencia de sesión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Login previo</t>
        </is>
      </c>
      <c r="M8" s="9" t="inlineStr">
        <is>
          <t>Cerrar y reabrir app</t>
        </is>
      </c>
      <c r="N8" s="9" t="inlineStr">
        <is>
          <t>Sigue logeado, sin re-login</t>
        </is>
      </c>
      <c r="O8" s="9" t="inlineStr"/>
    </row>
    <row r="9">
      <c r="A9" s="10" t="inlineStr">
        <is>
          <t>AUTH-08</t>
        </is>
      </c>
      <c r="B9" s="10" t="inlineStr">
        <is>
          <t>neom_auth</t>
        </is>
      </c>
      <c r="C9" s="10" t="inlineStr">
        <is>
          <t>Authentication</t>
        </is>
      </c>
      <c r="D9" s="10" t="inlineStr">
        <is>
          <t>P0</t>
        </is>
      </c>
      <c r="E9" s="10" t="inlineStr">
        <is>
          <t>Logout</t>
        </is>
      </c>
      <c r="F9" s="10" t="inlineStr">
        <is>
          <t>Not Run</t>
        </is>
      </c>
      <c r="G9" s="10" t="n"/>
      <c r="H9" s="10" t="n"/>
      <c r="I9" s="10" t="n"/>
      <c r="J9" s="10" t="n"/>
      <c r="K9" s="10" t="n"/>
      <c r="L9" s="10" t="inlineStr">
        <is>
          <t>Sesión activa</t>
        </is>
      </c>
      <c r="M9" s="10" t="inlineStr">
        <is>
          <t>Drawer &gt; Logout</t>
        </is>
      </c>
      <c r="N9" s="10" t="inlineStr">
        <is>
          <t>Sesión cerrada, vuelve a landing</t>
        </is>
      </c>
      <c r="O9" s="10" t="inlineStr"/>
    </row>
    <row r="10">
      <c r="A10" s="9" t="inlineStr">
        <is>
          <t>REG-01</t>
        </is>
      </c>
      <c r="B10" s="9" t="inlineStr">
        <is>
          <t>neom_auth</t>
        </is>
      </c>
      <c r="C10" s="9" t="inlineStr">
        <is>
          <t>Registration</t>
        </is>
      </c>
      <c r="D10" s="9" t="inlineStr">
        <is>
          <t>P0</t>
        </is>
      </c>
      <c r="E10" s="9" t="inlineStr">
        <is>
          <t>Registro email nuevo</t>
        </is>
      </c>
      <c r="F10" s="9" t="inlineStr">
        <is>
          <t>Not Run</t>
        </is>
      </c>
      <c r="G10" s="9" t="n"/>
      <c r="H10" s="9" t="n"/>
      <c r="I10" s="9" t="n"/>
      <c r="J10" s="9" t="n"/>
      <c r="K10" s="9" t="n"/>
      <c r="L10" s="9" t="inlineStr">
        <is>
          <t>Email no registrado</t>
        </is>
      </c>
      <c r="M10" s="9" t="inlineStr">
        <is>
          <t>Sign up form completo &gt; Submit</t>
        </is>
      </c>
      <c r="N10" s="9" t="inlineStr">
        <is>
          <t>Cuenta creada, email de verificación enviado</t>
        </is>
      </c>
      <c r="O10" s="9" t="inlineStr"/>
    </row>
    <row r="11">
      <c r="A11" s="10" t="inlineStr">
        <is>
          <t>REG-02</t>
        </is>
      </c>
      <c r="B11" s="10" t="inlineStr">
        <is>
          <t>neom_auth</t>
        </is>
      </c>
      <c r="C11" s="10" t="inlineStr">
        <is>
          <t>Registration</t>
        </is>
      </c>
      <c r="D11" s="10" t="inlineStr">
        <is>
          <t>P1</t>
        </is>
      </c>
      <c r="E11" s="10" t="inlineStr">
        <is>
          <t>Email duplicado bloqueado</t>
        </is>
      </c>
      <c r="F11" s="10" t="inlineStr">
        <is>
          <t>Not Run</t>
        </is>
      </c>
      <c r="G11" s="10" t="n"/>
      <c r="H11" s="10" t="n"/>
      <c r="I11" s="10" t="n"/>
      <c r="J11" s="10" t="n"/>
      <c r="K11" s="10" t="n"/>
      <c r="L11" s="10" t="inlineStr">
        <is>
          <t>Cuenta existente con email X</t>
        </is>
      </c>
      <c r="M11" s="10" t="inlineStr">
        <is>
          <t>Sign up con mismo email X</t>
        </is>
      </c>
      <c r="N11" s="10" t="inlineStr">
        <is>
          <t>Error 'email ya registrado'</t>
        </is>
      </c>
      <c r="O11" s="10" t="inlineStr"/>
    </row>
    <row r="12">
      <c r="A12" s="9" t="inlineStr">
        <is>
          <t>REG-03</t>
        </is>
      </c>
      <c r="B12" s="9" t="inlineStr">
        <is>
          <t>neom_auth</t>
        </is>
      </c>
      <c r="C12" s="9" t="inlineStr">
        <is>
          <t>Registration</t>
        </is>
      </c>
      <c r="D12" s="9" t="inlineStr">
        <is>
          <t>P1</t>
        </is>
      </c>
      <c r="E12" s="9" t="inlineStr">
        <is>
          <t>Password débil rechazada</t>
        </is>
      </c>
      <c r="F12" s="9" t="inlineStr">
        <is>
          <t>Not Run</t>
        </is>
      </c>
      <c r="G12" s="9" t="n"/>
      <c r="H12" s="9" t="n"/>
      <c r="I12" s="9" t="n"/>
      <c r="J12" s="9" t="n"/>
      <c r="K12" s="9" t="n"/>
      <c r="L12" s="9" t="inlineStr">
        <is>
          <t>-</t>
        </is>
      </c>
      <c r="M12" s="9" t="inlineStr">
        <is>
          <t>Sign up con password '123'</t>
        </is>
      </c>
      <c r="N12" s="9" t="inlineStr">
        <is>
          <t>Validación bloquea submit</t>
        </is>
      </c>
      <c r="O12" s="9" t="inlineStr"/>
    </row>
    <row r="13">
      <c r="A13" s="10" t="inlineStr">
        <is>
          <t>ONB-01</t>
        </is>
      </c>
      <c r="B13" s="10" t="inlineStr">
        <is>
          <t>neom_auth</t>
        </is>
      </c>
      <c r="C13" s="10" t="inlineStr">
        <is>
          <t>Onboarding</t>
        </is>
      </c>
      <c r="D13" s="10" t="inlineStr">
        <is>
          <t>P0</t>
        </is>
      </c>
      <c r="E13" s="10" t="inlineStr">
        <is>
          <t>Flujo primer uso</t>
        </is>
      </c>
      <c r="F13" s="10" t="inlineStr">
        <is>
          <t>Not Run</t>
        </is>
      </c>
      <c r="G13" s="10" t="n"/>
      <c r="H13" s="10" t="n"/>
      <c r="I13" s="10" t="n"/>
      <c r="J13" s="10" t="n"/>
      <c r="K13" s="10" t="n"/>
      <c r="L13" s="10" t="inlineStr">
        <is>
          <t>Cuenta nueva</t>
        </is>
      </c>
      <c r="M13" s="10" t="inlineStr">
        <is>
          <t>Completar onboarding entero</t>
        </is>
      </c>
      <c r="N13" s="10" t="inlineStr">
        <is>
          <t>Llega a Home con perfil básico</t>
        </is>
      </c>
      <c r="O13" s="10" t="inlineStr"/>
    </row>
    <row r="14">
      <c r="A14" s="9" t="inlineStr">
        <is>
          <t>ONB-02</t>
        </is>
      </c>
      <c r="B14" s="9" t="inlineStr">
        <is>
          <t>neom_auth</t>
        </is>
      </c>
      <c r="C14" s="9" t="inlineStr">
        <is>
          <t>Onboarding</t>
        </is>
      </c>
      <c r="D14" s="9" t="inlineStr">
        <is>
          <t>P1</t>
        </is>
      </c>
      <c r="E14" s="9" t="inlineStr">
        <is>
          <t>Selección de rol</t>
        </is>
      </c>
      <c r="F14" s="9" t="inlineStr">
        <is>
          <t>Not Run</t>
        </is>
      </c>
      <c r="G14" s="9" t="n"/>
      <c r="H14" s="9" t="n"/>
      <c r="I14" s="9" t="n"/>
      <c r="J14" s="9" t="n"/>
      <c r="K14" s="9" t="n"/>
      <c r="L14" s="9" t="inlineStr">
        <is>
          <t>Onboarding</t>
        </is>
      </c>
      <c r="M14" s="9" t="inlineStr">
        <is>
          <t>Elegir artist/fan/corporate</t>
        </is>
      </c>
      <c r="N14" s="9" t="inlineStr">
        <is>
          <t>Rol guardado en perfil</t>
        </is>
      </c>
      <c r="O14" s="9" t="inlineStr"/>
    </row>
    <row r="15">
      <c r="A15" s="10" t="inlineStr">
        <is>
          <t>ONB-03</t>
        </is>
      </c>
      <c r="B15" s="10" t="inlineStr">
        <is>
          <t>neom_auth</t>
        </is>
      </c>
      <c r="C15" s="10" t="inlineStr">
        <is>
          <t>Onboarding</t>
        </is>
      </c>
      <c r="D15" s="10" t="inlineStr">
        <is>
          <t>P1</t>
        </is>
      </c>
      <c r="E15" s="10" t="inlineStr">
        <is>
          <t>Selección de géneros (3+)</t>
        </is>
      </c>
      <c r="F15" s="10" t="inlineStr">
        <is>
          <t>Not Run</t>
        </is>
      </c>
      <c r="G15" s="10" t="n"/>
      <c r="H15" s="10" t="n"/>
      <c r="I15" s="10" t="n"/>
      <c r="J15" s="10" t="n"/>
      <c r="K15" s="10" t="n"/>
      <c r="L15" s="10" t="inlineStr">
        <is>
          <t>Onboarding</t>
        </is>
      </c>
      <c r="M15" s="10" t="inlineStr">
        <is>
          <t>Seleccionar 3+ géneros</t>
        </is>
      </c>
      <c r="N15" s="10" t="inlineStr">
        <is>
          <t>Géneros persistidos</t>
        </is>
      </c>
      <c r="O15" s="10" t="inlineStr"/>
    </row>
    <row r="16">
      <c r="A16" s="9" t="inlineStr">
        <is>
          <t>ONB-04</t>
        </is>
      </c>
      <c r="B16" s="9" t="inlineStr">
        <is>
          <t>neom_auth</t>
        </is>
      </c>
      <c r="C16" s="9" t="inlineStr">
        <is>
          <t>Onboarding</t>
        </is>
      </c>
      <c r="D16" s="9" t="inlineStr">
        <is>
          <t>P2</t>
        </is>
      </c>
      <c r="E16" s="9" t="inlineStr">
        <is>
          <t>Skip pasos opcionales</t>
        </is>
      </c>
      <c r="F16" s="9" t="inlineStr">
        <is>
          <t>Not Run</t>
        </is>
      </c>
      <c r="G16" s="9" t="n"/>
      <c r="H16" s="9" t="n"/>
      <c r="I16" s="9" t="n"/>
      <c r="J16" s="9" t="n"/>
      <c r="K16" s="9" t="n"/>
      <c r="L16" s="9" t="inlineStr">
        <is>
          <t>Onboarding</t>
        </is>
      </c>
      <c r="M16" s="9" t="inlineStr">
        <is>
          <t>Skip foto + bio</t>
        </is>
      </c>
      <c r="N16" s="9" t="inlineStr">
        <is>
          <t>Permite continuar sin error</t>
        </is>
      </c>
      <c r="O16" s="9" t="inlineStr"/>
    </row>
    <row r="17">
      <c r="A17" s="10" t="inlineStr">
        <is>
          <t>DEL-01</t>
        </is>
      </c>
      <c r="B17" s="10" t="inlineStr">
        <is>
          <t>neom_auth</t>
        </is>
      </c>
      <c r="C17" s="10" t="inlineStr">
        <is>
          <t>Account</t>
        </is>
      </c>
      <c r="D17" s="10" t="inlineStr">
        <is>
          <t>P2</t>
        </is>
      </c>
      <c r="E17" s="10" t="inlineStr">
        <is>
          <t>Eliminar cuenta</t>
        </is>
      </c>
      <c r="F17" s="10" t="inlineStr">
        <is>
          <t>Not Run</t>
        </is>
      </c>
      <c r="G17" s="10" t="n"/>
      <c r="H17" s="10" t="n"/>
      <c r="I17" s="10" t="n"/>
      <c r="J17" s="10" t="n"/>
      <c r="K17" s="10" t="n"/>
      <c r="L17" s="10" t="inlineStr">
        <is>
          <t>Login</t>
        </is>
      </c>
      <c r="M17" s="10" t="inlineStr">
        <is>
          <t>Settings &gt; Delete account &gt; confirmar</t>
        </is>
      </c>
      <c r="N17" s="10" t="inlineStr">
        <is>
          <t>Cuenta eliminada, datos purgados, logout</t>
        </is>
      </c>
      <c r="O17" s="10" t="inlineStr">
        <is>
          <t>Verificar GDPR</t>
        </is>
      </c>
    </row>
    <row r="18">
      <c r="A18" s="9" t="inlineStr">
        <is>
          <t>I18N-01</t>
        </is>
      </c>
      <c r="B18" s="9" t="inlineStr">
        <is>
          <t>neom_auth</t>
        </is>
      </c>
      <c r="C18" s="9" t="inlineStr">
        <is>
          <t>i18n</t>
        </is>
      </c>
      <c r="D18" s="9" t="inlineStr">
        <is>
          <t>P1</t>
        </is>
      </c>
      <c r="E18" s="9" t="inlineStr">
        <is>
          <t>Parity EN/ES translation maps</t>
        </is>
      </c>
      <c r="F18" s="9" t="inlineStr">
        <is>
          <t>Not Run</t>
        </is>
      </c>
      <c r="G18" s="9" t="n"/>
      <c r="H18" s="9" t="n"/>
      <c r="I18" s="9" t="n"/>
      <c r="J18" s="9" t="n"/>
      <c r="K18" s="9" t="n"/>
      <c r="L18" s="9" t="inlineStr">
        <is>
          <t>-</t>
        </is>
      </c>
      <c r="M18" s="9" t="inlineStr">
        <is>
          <t>Ejecutar translations_parity_test.dart</t>
        </is>
      </c>
      <c r="N18" s="9" t="inlineStr">
        <is>
          <t>100% paridad de keys</t>
        </is>
      </c>
      <c r="O18" s="9" t="inlineStr">
        <is>
          <t>Automatizado</t>
        </is>
      </c>
    </row>
    <row r="19">
      <c r="A19" s="10" t="inlineStr">
        <is>
          <t>I18N-02</t>
        </is>
      </c>
      <c r="B19" s="10" t="inlineStr">
        <is>
          <t>neom_auth</t>
        </is>
      </c>
      <c r="C19" s="10" t="inlineStr">
        <is>
          <t>i18n</t>
        </is>
      </c>
      <c r="D19" s="10" t="inlineStr">
        <is>
          <t>P2</t>
        </is>
      </c>
      <c r="E19" s="10" t="inlineStr">
        <is>
          <t>Sin whitespace en keys</t>
        </is>
      </c>
      <c r="F19" s="10" t="inlineStr">
        <is>
          <t>Not Run</t>
        </is>
      </c>
      <c r="G19" s="10" t="n"/>
      <c r="H19" s="10" t="n"/>
      <c r="I19" s="10" t="n"/>
      <c r="J19" s="10" t="n"/>
      <c r="K19" s="10" t="n"/>
      <c r="L19" s="10" t="inlineStr">
        <is>
          <t>-</t>
        </is>
      </c>
      <c r="M19" s="10" t="inlineStr">
        <is>
          <t>Test invariant</t>
        </is>
      </c>
      <c r="N19" s="10" t="inlineStr">
        <is>
          <t>0 keys con espacios</t>
        </is>
      </c>
      <c r="O19" s="10" t="inlineStr">
        <is>
          <t>Automatizado</t>
        </is>
      </c>
    </row>
  </sheetData>
  <autoFilter ref="A1:O19"/>
  <conditionalFormatting sqref="F2:F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19" showDropDown="0" showInputMessage="0" showErrorMessage="0" allowBlank="1" type="list">
      <formula1>"Not Run,Passed,Failed,Blocked,Skipped"</formula1>
    </dataValidation>
    <dataValidation sqref="D2:D19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Account</t>
        </is>
      </c>
      <c r="B2" s="11">
        <f>COUNTIF('Test Cases'!C2:C19,A2)</f>
        <v/>
      </c>
      <c r="C2" s="11">
        <f>COUNTIFS('Test Cases'!C2:C19,A2,'Test Cases'!F2:F19,"Passed")</f>
        <v/>
      </c>
      <c r="D2" s="11">
        <f>COUNTIFS('Test Cases'!C2:C19,A2,'Test Cases'!F2:F19,"Failed")</f>
        <v/>
      </c>
      <c r="E2" s="11">
        <f>COUNTIFS('Test Cases'!C2:C19,A2,'Test Cases'!F2:F19,"Blocked")</f>
        <v/>
      </c>
      <c r="F2" s="11">
        <f>COUNTIFS('Test Cases'!C2:C19,A2,'Test Cases'!F2:F19,"Skipped")</f>
        <v/>
      </c>
      <c r="G2" s="11">
        <f>COUNTIFS('Test Cases'!C2:C19,A2,'Test Cases'!F2:F19,"Not Run")</f>
        <v/>
      </c>
      <c r="H2" s="12">
        <f>IFERROR(C2/(C2+D2),0)</f>
        <v/>
      </c>
    </row>
    <row r="3">
      <c r="A3" s="11" t="inlineStr">
        <is>
          <t>Authentication</t>
        </is>
      </c>
      <c r="B3" s="11">
        <f>COUNTIF('Test Cases'!C2:C19,A3)</f>
        <v/>
      </c>
      <c r="C3" s="11">
        <f>COUNTIFS('Test Cases'!C2:C19,A3,'Test Cases'!F2:F19,"Passed")</f>
        <v/>
      </c>
      <c r="D3" s="11">
        <f>COUNTIFS('Test Cases'!C2:C19,A3,'Test Cases'!F2:F19,"Failed")</f>
        <v/>
      </c>
      <c r="E3" s="11">
        <f>COUNTIFS('Test Cases'!C2:C19,A3,'Test Cases'!F2:F19,"Blocked")</f>
        <v/>
      </c>
      <c r="F3" s="11">
        <f>COUNTIFS('Test Cases'!C2:C19,A3,'Test Cases'!F2:F19,"Skipped")</f>
        <v/>
      </c>
      <c r="G3" s="11">
        <f>COUNTIFS('Test Cases'!C2:C19,A3,'Test Cases'!F2:F19,"Not Run")</f>
        <v/>
      </c>
      <c r="H3" s="12">
        <f>IFERROR(C3/(C3+D3),0)</f>
        <v/>
      </c>
    </row>
    <row r="4">
      <c r="A4" s="11" t="inlineStr">
        <is>
          <t>Onboarding</t>
        </is>
      </c>
      <c r="B4" s="11">
        <f>COUNTIF('Test Cases'!C2:C19,A4)</f>
        <v/>
      </c>
      <c r="C4" s="11">
        <f>COUNTIFS('Test Cases'!C2:C19,A4,'Test Cases'!F2:F19,"Passed")</f>
        <v/>
      </c>
      <c r="D4" s="11">
        <f>COUNTIFS('Test Cases'!C2:C19,A4,'Test Cases'!F2:F19,"Failed")</f>
        <v/>
      </c>
      <c r="E4" s="11">
        <f>COUNTIFS('Test Cases'!C2:C19,A4,'Test Cases'!F2:F19,"Blocked")</f>
        <v/>
      </c>
      <c r="F4" s="11">
        <f>COUNTIFS('Test Cases'!C2:C19,A4,'Test Cases'!F2:F19,"Skipped")</f>
        <v/>
      </c>
      <c r="G4" s="11">
        <f>COUNTIFS('Test Cases'!C2:C19,A4,'Test Cases'!F2:F19,"Not Run")</f>
        <v/>
      </c>
      <c r="H4" s="12">
        <f>IFERROR(C4/(C4+D4),0)</f>
        <v/>
      </c>
    </row>
    <row r="5">
      <c r="A5" s="11" t="inlineStr">
        <is>
          <t>Registration</t>
        </is>
      </c>
      <c r="B5" s="11">
        <f>COUNTIF('Test Cases'!C2:C19,A5)</f>
        <v/>
      </c>
      <c r="C5" s="11">
        <f>COUNTIFS('Test Cases'!C2:C19,A5,'Test Cases'!F2:F19,"Passed")</f>
        <v/>
      </c>
      <c r="D5" s="11">
        <f>COUNTIFS('Test Cases'!C2:C19,A5,'Test Cases'!F2:F19,"Failed")</f>
        <v/>
      </c>
      <c r="E5" s="11">
        <f>COUNTIFS('Test Cases'!C2:C19,A5,'Test Cases'!F2:F19,"Blocked")</f>
        <v/>
      </c>
      <c r="F5" s="11">
        <f>COUNTIFS('Test Cases'!C2:C19,A5,'Test Cases'!F2:F19,"Skipped")</f>
        <v/>
      </c>
      <c r="G5" s="11">
        <f>COUNTIFS('Test Cases'!C2:C19,A5,'Test Cases'!F2:F19,"Not Run")</f>
        <v/>
      </c>
      <c r="H5" s="12">
        <f>IFERROR(C5/(C5+D5),0)</f>
        <v/>
      </c>
    </row>
    <row r="6">
      <c r="A6" s="11" t="inlineStr">
        <is>
          <t>i18n</t>
        </is>
      </c>
      <c r="B6" s="11">
        <f>COUNTIF('Test Cases'!C2:C19,A6)</f>
        <v/>
      </c>
      <c r="C6" s="11">
        <f>COUNTIFS('Test Cases'!C2:C19,A6,'Test Cases'!F2:F19,"Passed")</f>
        <v/>
      </c>
      <c r="D6" s="11">
        <f>COUNTIFS('Test Cases'!C2:C19,A6,'Test Cases'!F2:F19,"Failed")</f>
        <v/>
      </c>
      <c r="E6" s="11">
        <f>COUNTIFS('Test Cases'!C2:C19,A6,'Test Cases'!F2:F19,"Blocked")</f>
        <v/>
      </c>
      <c r="F6" s="11">
        <f>COUNTIFS('Test Cases'!C2:C19,A6,'Test Cases'!F2:F19,"Skipped")</f>
        <v/>
      </c>
      <c r="G6" s="11">
        <f>COUNTIFS('Test Cases'!C2:C19,A6,'Test Cases'!F2:F19,"Not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Cases'!D2:D19,"P0",'Test Cases'!F2:F19,"Failed")=0,"OK","BLOCKED")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Cases'!D2:D19,"P1",'Test Cases'!F2:F19,"Passed")/COUNTIF('Test Cases'!D2:D19,"P1"),0)&gt;=0.95,"OK","REVIEW")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Cases'!D2:D19,"P2",'Test Cases'!F2:F19,"Passed")+COUNTIFS('Test Cases'!D2:D19,"P2",'Test Cases'!F2:F19,"Failed"))/COUNTIF('Test Cases'!D2:D19,"P2"),0)&gt;=0.8,"OK","REVIEW")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2026-04-08T16:23:02Z</dcterms:created>
  <dcterms:modified xmlns:dcterms="http://purl.org/dc/terms/" xmlns:xsi="http://www.w3.org/2001/XMLSchema-instance" xsi:type="dcterms:W3CDTF">2026-04-08T16:23:02Z</dcterms:modified>
</cp:coreProperties>
</file>